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racy" sheetId="1" state="visible" r:id="rId3"/>
    <sheet name="HE" sheetId="2" state="visible" r:id="rId4"/>
    <sheet name="RcE" sheetId="3" state="visible" r:id="rId5"/>
    <sheet name="RE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<sst xmlns="http://schemas.openxmlformats.org/spreadsheetml/2006/main" count="136" uniqueCount="37">
  <si>
    <t xml:space="preserve">Table 1. Node classification accuracy (%) at 50% coarsening, F = orig</t>
  </si>
  <si>
    <t xml:space="preserve">Ours: mean over seeds (10 unless noted). Paper: AH-UGC Tables 3 and 8. Base = uncoarsened graph. not run = no result file. Δ = AH-UGC (ours) − paper AH-UGC.</t>
  </si>
  <si>
    <t xml:space="preserve">Dataset</t>
  </si>
  <si>
    <t xml:space="preserve">Model</t>
  </si>
  <si>
    <t xml:space="preserve">Seeds</t>
  </si>
  <si>
    <t xml:space="preserve">Ours: Base</t>
  </si>
  <si>
    <t xml:space="preserve">Ours: AH-UGC (random)</t>
  </si>
  <si>
    <t xml:space="preserve">Ours: pca_z</t>
  </si>
  <si>
    <t xml:space="preserve">Ours: dpca</t>
  </si>
  <si>
    <t xml:space="preserve">Ours: shingle</t>
  </si>
  <si>
    <t xml:space="preserve">Ours: shingle_z</t>
  </si>
  <si>
    <t xml:space="preserve">Paper: Base</t>
  </si>
  <si>
    <t xml:space="preserve">Paper: UGC</t>
  </si>
  <si>
    <t xml:space="preserve">Paper: AH-UGC</t>
  </si>
  <si>
    <t xml:space="preserve">Δ AH-UGC − paper</t>
  </si>
  <si>
    <t xml:space="preserve">Cora</t>
  </si>
  <si>
    <t xml:space="preserve">GCN</t>
  </si>
  <si>
    <t xml:space="preserve">Citeseer</t>
  </si>
  <si>
    <t xml:space="preserve">PubMed</t>
  </si>
  <si>
    <t xml:space="preserve">not run</t>
  </si>
  <si>
    <t xml:space="preserve">Chameleon</t>
  </si>
  <si>
    <t xml:space="preserve">SGC</t>
  </si>
  <si>
    <t xml:space="preserve">Cornell (α wrong)</t>
  </si>
  <si>
    <t xml:space="preserve">Film</t>
  </si>
  <si>
    <t xml:space="preserve">Squirrel</t>
  </si>
  <si>
    <t xml:space="preserve">Standard deviation across seeds (±)</t>
  </si>
  <si>
    <t xml:space="preserve">Table 2a. Hyperbolic error (HE), lower is better, 50% coarsening, F = orig</t>
  </si>
  <si>
    <t xml:space="preserve">Ours: F = orig, 50% coarsening. Paper values: AH-UGC (Tables 2 and 10). n.r. = not reported in paper. not run = no result file. Δ is blank where either value is missing.</t>
  </si>
  <si>
    <t xml:space="preserve">AH-UGC (random)</t>
  </si>
  <si>
    <t xml:space="preserve">pca_z</t>
  </si>
  <si>
    <t xml:space="preserve">dpca</t>
  </si>
  <si>
    <t xml:space="preserve">shingle</t>
  </si>
  <si>
    <t xml:space="preserve">shingle_z</t>
  </si>
  <si>
    <t xml:space="preserve">Paper AH-UGC</t>
  </si>
  <si>
    <t xml:space="preserve">n.r.</t>
  </si>
  <si>
    <t xml:space="preserve">Table 2b. Reconstruction error (RcE, log form), lower is better, 50% coarsening, F = orig</t>
  </si>
  <si>
    <t xml:space="preserve">Table 2c. Relative eigen error (REE), lower is better, 50% coarsening, F = orig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</si>
</sst>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.00;\-0.00;0.00"/>
    <numFmt numFmtId="167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5" t="n">
        <v>10</v>
      </c>
      <c r="D5" s="6" t="n">
        <v>88.192</v>
      </c>
      <c r="E5" s="6" t="n">
        <v>84.502</v>
      </c>
      <c r="F5" s="6" t="n">
        <v>83.948</v>
      </c>
      <c r="G5" s="6" t="n">
        <v>85.185</v>
      </c>
      <c r="H5" s="6" t="n">
        <v>86.107</v>
      </c>
      <c r="I5" s="6" t="n">
        <v>85.351</v>
      </c>
      <c r="J5" s="7" t="n">
        <v>85.81</v>
      </c>
      <c r="K5" s="7" t="n">
        <v>79</v>
      </c>
      <c r="L5" s="7" t="n">
        <v>77.34</v>
      </c>
      <c r="M5" s="8" t="n">
        <f aca="false">IF(AND(ISNUMBER(E5),ISNUMBER(L5)),E5-L5,"")</f>
        <v>7.16199999999999</v>
      </c>
    </row>
    <row r="6" customFormat="false" ht="15" hidden="false" customHeight="false" outlineLevel="0" collapsed="false">
      <c r="A6" s="4" t="s">
        <v>17</v>
      </c>
      <c r="B6" s="5" t="s">
        <v>16</v>
      </c>
      <c r="C6" s="5" t="n">
        <v>10</v>
      </c>
      <c r="D6" s="6" t="n">
        <v>75.571</v>
      </c>
      <c r="E6" s="6" t="n">
        <v>70.511</v>
      </c>
      <c r="F6" s="6" t="n">
        <v>71.967</v>
      </c>
      <c r="G6" s="6" t="n">
        <v>73.108</v>
      </c>
      <c r="H6" s="6" t="n">
        <v>72.628</v>
      </c>
      <c r="I6" s="6" t="n">
        <v>73.258</v>
      </c>
      <c r="J6" s="7" t="n">
        <v>70.12</v>
      </c>
      <c r="K6" s="7" t="n">
        <v>65.31</v>
      </c>
      <c r="L6" s="7" t="n">
        <v>65.46</v>
      </c>
      <c r="M6" s="8" t="n">
        <f aca="false">IF(AND(ISNUMBER(E6),ISNUMBER(L6)),E6-L6,"")</f>
        <v>5.051</v>
      </c>
    </row>
    <row r="7" customFormat="false" ht="15" hidden="false" customHeight="false" outlineLevel="0" collapsed="false">
      <c r="A7" s="4" t="s">
        <v>18</v>
      </c>
      <c r="B7" s="5" t="s">
        <v>16</v>
      </c>
      <c r="C7" s="5" t="n">
        <v>5</v>
      </c>
      <c r="D7" s="6" t="n">
        <v>86.364</v>
      </c>
      <c r="E7" s="6" t="n">
        <v>85.137</v>
      </c>
      <c r="F7" s="6" t="n">
        <v>85.456</v>
      </c>
      <c r="G7" s="6" t="n">
        <v>85.218</v>
      </c>
      <c r="H7" s="6" t="n">
        <v>85.38</v>
      </c>
      <c r="I7" s="6" t="s">
        <v>19</v>
      </c>
      <c r="J7" s="7" t="n">
        <v>87.6</v>
      </c>
      <c r="K7" s="7" t="n">
        <v>84.66</v>
      </c>
      <c r="L7" s="7" t="n">
        <v>85.47</v>
      </c>
      <c r="M7" s="8" t="n">
        <f aca="false">IF(AND(ISNUMBER(E7),ISNUMBER(L7)),E7-L7,"")</f>
        <v>-0.332999999999998</v>
      </c>
    </row>
    <row r="8" customFormat="false" ht="15" hidden="false" customHeight="false" outlineLevel="0" collapsed="false">
      <c r="A8" s="4" t="s">
        <v>20</v>
      </c>
      <c r="B8" s="5" t="s">
        <v>21</v>
      </c>
      <c r="C8" s="5" t="n">
        <v>10</v>
      </c>
      <c r="D8" s="6" t="n">
        <v>71.447</v>
      </c>
      <c r="E8" s="6" t="n">
        <v>57.961</v>
      </c>
      <c r="F8" s="6" t="n">
        <v>61.404</v>
      </c>
      <c r="G8" s="6" t="n">
        <v>61.14</v>
      </c>
      <c r="H8" s="6" t="n">
        <v>59.781</v>
      </c>
      <c r="I8" s="6" t="n">
        <v>60.044</v>
      </c>
      <c r="J8" s="7" t="n">
        <v>57.46</v>
      </c>
      <c r="K8" s="7" t="n">
        <v>58.6</v>
      </c>
      <c r="L8" s="7" t="n">
        <v>59.65</v>
      </c>
      <c r="M8" s="8" t="n">
        <f aca="false">IF(AND(ISNUMBER(E8),ISNUMBER(L8)),E8-L8,"")</f>
        <v>-1.689</v>
      </c>
    </row>
    <row r="9" customFormat="false" ht="15" hidden="false" customHeight="false" outlineLevel="0" collapsed="false">
      <c r="A9" s="4" t="s">
        <v>22</v>
      </c>
      <c r="B9" s="5" t="s">
        <v>21</v>
      </c>
      <c r="C9" s="5" t="n">
        <v>10</v>
      </c>
      <c r="D9" s="6" t="n">
        <v>45.676</v>
      </c>
      <c r="E9" s="6" t="n">
        <v>46.216</v>
      </c>
      <c r="F9" s="6" t="n">
        <v>45.405</v>
      </c>
      <c r="G9" s="6" t="n">
        <v>49.73</v>
      </c>
      <c r="H9" s="6" t="n">
        <v>45.676</v>
      </c>
      <c r="I9" s="6" t="n">
        <v>40.811</v>
      </c>
      <c r="J9" s="7" t="n">
        <v>72.78</v>
      </c>
      <c r="K9" s="7" t="n">
        <v>76.68</v>
      </c>
      <c r="L9" s="7" t="n">
        <v>76.08</v>
      </c>
      <c r="M9" s="8" t="n">
        <f aca="false">IF(AND(ISNUMBER(E9),ISNUMBER(L9)),E9-L9,"")</f>
        <v>-29.864</v>
      </c>
    </row>
    <row r="10" customFormat="false" ht="15" hidden="false" customHeight="false" outlineLevel="0" collapsed="false">
      <c r="A10" s="4" t="s">
        <v>23</v>
      </c>
      <c r="B10" s="5" t="s">
        <v>21</v>
      </c>
      <c r="C10" s="5" t="n">
        <v>10</v>
      </c>
      <c r="D10" s="6" t="n">
        <v>25.526</v>
      </c>
      <c r="E10" s="6" t="n">
        <v>22.717</v>
      </c>
      <c r="F10" s="6" t="n">
        <v>22.697</v>
      </c>
      <c r="G10" s="6" t="n">
        <v>23.026</v>
      </c>
      <c r="H10" s="6" t="n">
        <v>22.474</v>
      </c>
      <c r="I10" s="6" t="n">
        <v>22.684</v>
      </c>
      <c r="J10" s="7" t="n">
        <v>27.63</v>
      </c>
      <c r="K10" s="7" t="n">
        <v>21.47</v>
      </c>
      <c r="L10" s="7" t="n">
        <v>21.68</v>
      </c>
      <c r="M10" s="8" t="n">
        <f aca="false">IF(AND(ISNUMBER(E10),ISNUMBER(L10)),E10-L10,"")</f>
        <v>1.037</v>
      </c>
    </row>
    <row r="11" customFormat="false" ht="15" hidden="false" customHeight="false" outlineLevel="0" collapsed="false">
      <c r="A11" s="4" t="s">
        <v>24</v>
      </c>
      <c r="B11" s="5" t="s">
        <v>21</v>
      </c>
      <c r="C11" s="5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7" t="n">
        <v>43.61</v>
      </c>
      <c r="K11" s="7" t="n">
        <v>40.89</v>
      </c>
      <c r="L11" s="7" t="n">
        <v>39.51</v>
      </c>
      <c r="M11" s="8" t="str">
        <f aca="false">IF(AND(ISNUMBER(E11),ISNUMBER(L11)),E11-L11,"")</f>
        <v/>
      </c>
    </row>
    <row r="13" customFormat="false" ht="15" hidden="false" customHeight="false" outlineLevel="0" collapsed="false">
      <c r="A13" s="9" t="s">
        <v>25</v>
      </c>
    </row>
    <row r="14" customFormat="false" ht="23.85" hidden="false" customHeight="false" outlineLevel="0" collapsed="false">
      <c r="A14" s="3" t="s">
        <v>2</v>
      </c>
      <c r="B14" s="3"/>
      <c r="C14" s="3"/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</row>
    <row r="15" customFormat="false" ht="15" hidden="false" customHeight="false" outlineLevel="0" collapsed="false">
      <c r="A15" s="4" t="s">
        <v>15</v>
      </c>
      <c r="D15" s="6" t="n">
        <v>1.265</v>
      </c>
      <c r="E15" s="6" t="n">
        <v>1.775</v>
      </c>
      <c r="F15" s="6" t="n">
        <v>1.557</v>
      </c>
      <c r="G15" s="6" t="n">
        <v>1.648</v>
      </c>
      <c r="H15" s="6" t="n">
        <v>1.128</v>
      </c>
      <c r="I15" s="6" t="n">
        <v>1.26</v>
      </c>
    </row>
    <row r="16" customFormat="false" ht="15" hidden="false" customHeight="false" outlineLevel="0" collapsed="false">
      <c r="A16" s="4" t="s">
        <v>17</v>
      </c>
      <c r="D16" s="6" t="n">
        <v>1.319</v>
      </c>
      <c r="E16" s="6" t="n">
        <v>2.108</v>
      </c>
      <c r="F16" s="6" t="n">
        <v>1.173</v>
      </c>
      <c r="G16" s="6" t="n">
        <v>1.848</v>
      </c>
      <c r="H16" s="6" t="n">
        <v>1.218</v>
      </c>
      <c r="I16" s="6" t="n">
        <v>1.239</v>
      </c>
    </row>
    <row r="17" customFormat="false" ht="15" hidden="false" customHeight="false" outlineLevel="0" collapsed="false">
      <c r="A17" s="4" t="s">
        <v>18</v>
      </c>
      <c r="D17" s="6" t="n">
        <v>0.354</v>
      </c>
      <c r="E17" s="6" t="n">
        <v>0.285</v>
      </c>
      <c r="F17" s="6" t="n">
        <v>0.327</v>
      </c>
      <c r="G17" s="6" t="n">
        <v>0.495</v>
      </c>
      <c r="H17" s="6" t="n">
        <v>0.239</v>
      </c>
      <c r="I17" s="6" t="s">
        <v>19</v>
      </c>
    </row>
    <row r="18" customFormat="false" ht="15" hidden="false" customHeight="false" outlineLevel="0" collapsed="false">
      <c r="A18" s="4" t="s">
        <v>20</v>
      </c>
      <c r="D18" s="6" t="n">
        <v>1.348</v>
      </c>
      <c r="E18" s="6" t="n">
        <v>1.516</v>
      </c>
      <c r="F18" s="6" t="n">
        <v>1.51</v>
      </c>
      <c r="G18" s="6" t="n">
        <v>1.393</v>
      </c>
      <c r="H18" s="6" t="n">
        <v>2.176</v>
      </c>
      <c r="I18" s="6" t="n">
        <v>2.451</v>
      </c>
    </row>
    <row r="19" customFormat="false" ht="15" hidden="false" customHeight="false" outlineLevel="0" collapsed="false">
      <c r="A19" s="4" t="s">
        <v>22</v>
      </c>
      <c r="D19" s="6" t="n">
        <v>7.687</v>
      </c>
      <c r="E19" s="6" t="n">
        <v>7.094</v>
      </c>
      <c r="F19" s="6" t="n">
        <v>7.13</v>
      </c>
      <c r="G19" s="6" t="n">
        <v>9.456</v>
      </c>
      <c r="H19" s="6" t="n">
        <v>8.413</v>
      </c>
      <c r="I19" s="6" t="n">
        <v>8.238</v>
      </c>
    </row>
    <row r="20" customFormat="false" ht="15" hidden="false" customHeight="false" outlineLevel="0" collapsed="false">
      <c r="A20" s="4" t="s">
        <v>23</v>
      </c>
      <c r="D20" s="6" t="n">
        <v>1.051</v>
      </c>
      <c r="E20" s="6" t="n">
        <v>1.234</v>
      </c>
      <c r="F20" s="6" t="n">
        <v>0.851</v>
      </c>
      <c r="G20" s="6" t="n">
        <v>1</v>
      </c>
      <c r="H20" s="6" t="n">
        <v>1.278</v>
      </c>
      <c r="I20" s="6" t="n">
        <v>0.828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3" t="s">
        <v>2</v>
      </c>
      <c r="B4" s="3" t="s">
        <v>4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14</v>
      </c>
    </row>
    <row r="5" customFormat="false" ht="15" hidden="false" customHeight="false" outlineLevel="0" collapsed="false">
      <c r="A5" s="4" t="s">
        <v>15</v>
      </c>
      <c r="B5" s="5" t="n">
        <v>10</v>
      </c>
      <c r="C5" s="6" t="n">
        <v>3.7317</v>
      </c>
      <c r="D5" s="6" t="n">
        <v>3.8076</v>
      </c>
      <c r="E5" s="6" t="n">
        <v>4.0229</v>
      </c>
      <c r="F5" s="6" t="n">
        <v>3.5961</v>
      </c>
      <c r="G5" s="6" t="n">
        <v>3.8474</v>
      </c>
      <c r="H5" s="7" t="n">
        <v>2.03</v>
      </c>
      <c r="I5" s="6" t="n">
        <f aca="false">IF(AND(ISNUMBER(C5),ISNUMBER(H5)),C5-H5,"")</f>
        <v>1.7017</v>
      </c>
    </row>
    <row r="6" customFormat="false" ht="15" hidden="false" customHeight="false" outlineLevel="0" collapsed="false">
      <c r="A6" s="4" t="s">
        <v>17</v>
      </c>
      <c r="B6" s="5" t="n">
        <v>10</v>
      </c>
      <c r="C6" s="6" t="n">
        <v>3.7159</v>
      </c>
      <c r="D6" s="6" t="n">
        <v>3.8526</v>
      </c>
      <c r="E6" s="6" t="n">
        <v>4.0427</v>
      </c>
      <c r="F6" s="6" t="n">
        <v>3.5748</v>
      </c>
      <c r="G6" s="6" t="n">
        <v>3.6884</v>
      </c>
      <c r="H6" s="7" t="s">
        <v>34</v>
      </c>
      <c r="I6" s="6" t="str">
        <f aca="false">IF(AND(ISNUMBER(C6),ISNUMBER(H6)),C6-H6,"")</f>
        <v/>
      </c>
    </row>
    <row r="7" customFormat="false" ht="15" hidden="false" customHeight="false" outlineLevel="0" collapsed="false">
      <c r="A7" s="4" t="s">
        <v>18</v>
      </c>
      <c r="B7" s="5" t="n">
        <v>5</v>
      </c>
      <c r="C7" s="6" t="n">
        <v>4.3548</v>
      </c>
      <c r="D7" s="6" t="n">
        <v>4.8189</v>
      </c>
      <c r="E7" s="6" t="n">
        <v>4.8218</v>
      </c>
      <c r="F7" s="6" t="n">
        <v>4.4895</v>
      </c>
      <c r="G7" s="6" t="s">
        <v>19</v>
      </c>
      <c r="H7" s="7" t="n">
        <v>1.53</v>
      </c>
      <c r="I7" s="6" t="n">
        <f aca="false">IF(AND(ISNUMBER(C7),ISNUMBER(H7)),C7-H7,"")</f>
        <v>2.8248</v>
      </c>
    </row>
    <row r="8" customFormat="false" ht="15" hidden="false" customHeight="false" outlineLevel="0" collapsed="false">
      <c r="A8" s="4" t="s">
        <v>20</v>
      </c>
      <c r="B8" s="5" t="n">
        <v>10</v>
      </c>
      <c r="C8" s="6" t="n">
        <v>3.6305</v>
      </c>
      <c r="D8" s="6" t="n">
        <v>3.94</v>
      </c>
      <c r="E8" s="6" t="n">
        <v>3.9231</v>
      </c>
      <c r="F8" s="6" t="n">
        <v>4.3137</v>
      </c>
      <c r="G8" s="6" t="n">
        <v>3.9941</v>
      </c>
      <c r="H8" s="7" t="n">
        <v>1.71</v>
      </c>
      <c r="I8" s="6" t="n">
        <f aca="false">IF(AND(ISNUMBER(C8),ISNUMBER(H8)),C8-H8,"")</f>
        <v>1.9205</v>
      </c>
    </row>
    <row r="9" customFormat="false" ht="15" hidden="false" customHeight="false" outlineLevel="0" collapsed="false">
      <c r="A9" s="4" t="s">
        <v>22</v>
      </c>
      <c r="B9" s="5" t="n">
        <v>10</v>
      </c>
      <c r="C9" s="6" t="n">
        <v>4.0313</v>
      </c>
      <c r="D9" s="6" t="n">
        <v>3.5715</v>
      </c>
      <c r="E9" s="6" t="n">
        <v>3.4035</v>
      </c>
      <c r="F9" s="6" t="n">
        <v>3.4265</v>
      </c>
      <c r="G9" s="6" t="n">
        <v>3.8376</v>
      </c>
      <c r="H9" s="7" t="s">
        <v>34</v>
      </c>
      <c r="I9" s="6" t="str">
        <f aca="false">IF(AND(ISNUMBER(C9),ISNUMBER(H9)),C9-H9,"")</f>
        <v/>
      </c>
    </row>
    <row r="10" customFormat="false" ht="15" hidden="false" customHeight="false" outlineLevel="0" collapsed="false">
      <c r="A10" s="4" t="s">
        <v>23</v>
      </c>
      <c r="B10" s="5" t="n">
        <v>10</v>
      </c>
      <c r="C10" s="6" t="n">
        <v>4.0839</v>
      </c>
      <c r="D10" s="6" t="n">
        <v>4.6368</v>
      </c>
      <c r="E10" s="6" t="n">
        <v>4.4848</v>
      </c>
      <c r="F10" s="6" t="n">
        <v>4.4424</v>
      </c>
      <c r="G10" s="6" t="n">
        <v>4.2575</v>
      </c>
      <c r="H10" s="7" t="s">
        <v>34</v>
      </c>
      <c r="I10" s="6" t="str">
        <f aca="false">IF(AND(ISNUMBER(C10),ISNUMBER(H10)),C10-H10,"")</f>
        <v/>
      </c>
    </row>
    <row r="11" customFormat="false" ht="15" hidden="false" customHeight="false" outlineLevel="0" collapsed="false">
      <c r="A11" s="4" t="s">
        <v>24</v>
      </c>
      <c r="B11" s="5" t="s">
        <v>19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7" t="n">
        <v>0.82</v>
      </c>
      <c r="I11" s="6" t="str">
        <f aca="false">IF(AND(ISNUMBER(C11),ISNUMBER(H11)),C11-H11,"")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3" t="s">
        <v>2</v>
      </c>
      <c r="B4" s="3" t="s">
        <v>4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14</v>
      </c>
    </row>
    <row r="5" customFormat="false" ht="15" hidden="false" customHeight="false" outlineLevel="0" collapsed="false">
      <c r="A5" s="4" t="s">
        <v>15</v>
      </c>
      <c r="B5" s="5" t="n">
        <v>10</v>
      </c>
      <c r="C5" s="6" t="n">
        <v>7.2399</v>
      </c>
      <c r="D5" s="6" t="n">
        <v>7.2446</v>
      </c>
      <c r="E5" s="6" t="n">
        <v>7.5042</v>
      </c>
      <c r="F5" s="6" t="n">
        <v>6.9071</v>
      </c>
      <c r="G5" s="6" t="n">
        <v>7.1722</v>
      </c>
      <c r="H5" s="7" t="n">
        <v>4.14</v>
      </c>
      <c r="I5" s="6" t="n">
        <f aca="false">IF(AND(ISNUMBER(C5),ISNUMBER(H5)),C5-H5,"")</f>
        <v>3.0999</v>
      </c>
    </row>
    <row r="6" customFormat="false" ht="15" hidden="false" customHeight="false" outlineLevel="0" collapsed="false">
      <c r="A6" s="4" t="s">
        <v>17</v>
      </c>
      <c r="B6" s="5" t="n">
        <v>10</v>
      </c>
      <c r="C6" s="6" t="n">
        <v>6.5391</v>
      </c>
      <c r="D6" s="6" t="n">
        <v>6.5929</v>
      </c>
      <c r="E6" s="6" t="n">
        <v>6.6722</v>
      </c>
      <c r="F6" s="6" t="n">
        <v>6.0723</v>
      </c>
      <c r="G6" s="6" t="n">
        <v>6.202</v>
      </c>
      <c r="H6" s="7" t="s">
        <v>34</v>
      </c>
      <c r="I6" s="6" t="str">
        <f aca="false">IF(AND(ISNUMBER(C6),ISNUMBER(H6)),C6-H6,"")</f>
        <v/>
      </c>
    </row>
    <row r="7" customFormat="false" ht="15" hidden="false" customHeight="false" outlineLevel="0" collapsed="false">
      <c r="A7" s="4" t="s">
        <v>18</v>
      </c>
      <c r="B7" s="5" t="n">
        <v>5</v>
      </c>
      <c r="C7" s="6" t="n">
        <v>7.9509</v>
      </c>
      <c r="D7" s="6" t="n">
        <v>8.0611</v>
      </c>
      <c r="E7" s="6" t="n">
        <v>8.2542</v>
      </c>
      <c r="F7" s="6" t="n">
        <v>7.9754</v>
      </c>
      <c r="G7" s="6" t="s">
        <v>19</v>
      </c>
      <c r="H7" s="7" t="n">
        <v>4.43</v>
      </c>
      <c r="I7" s="6" t="n">
        <f aca="false">IF(AND(ISNUMBER(C7),ISNUMBER(H7)),C7-H7,"")</f>
        <v>3.5209</v>
      </c>
    </row>
    <row r="8" customFormat="false" ht="15" hidden="false" customHeight="false" outlineLevel="0" collapsed="false">
      <c r="A8" s="4" t="s">
        <v>20</v>
      </c>
      <c r="B8" s="5" t="n">
        <v>10</v>
      </c>
      <c r="C8" s="6" t="n">
        <v>11.4683</v>
      </c>
      <c r="D8" s="6" t="n">
        <v>11.6822</v>
      </c>
      <c r="E8" s="6" t="n">
        <v>11.5948</v>
      </c>
      <c r="F8" s="6" t="n">
        <v>12.0866</v>
      </c>
      <c r="G8" s="6" t="n">
        <v>11.7218</v>
      </c>
      <c r="H8" s="7" t="n">
        <v>7.16</v>
      </c>
      <c r="I8" s="6" t="n">
        <f aca="false">IF(AND(ISNUMBER(C8),ISNUMBER(H8)),C8-H8,"")</f>
        <v>4.3083</v>
      </c>
    </row>
    <row r="9" customFormat="false" ht="15" hidden="false" customHeight="false" outlineLevel="0" collapsed="false">
      <c r="A9" s="4" t="s">
        <v>22</v>
      </c>
      <c r="B9" s="5" t="n">
        <v>10</v>
      </c>
      <c r="C9" s="6" t="n">
        <v>6.7802</v>
      </c>
      <c r="D9" s="6" t="n">
        <v>6.1154</v>
      </c>
      <c r="E9" s="6" t="n">
        <v>5.89</v>
      </c>
      <c r="F9" s="6" t="n">
        <v>5.9054</v>
      </c>
      <c r="G9" s="6" t="n">
        <v>6.434</v>
      </c>
      <c r="H9" s="7" t="s">
        <v>34</v>
      </c>
      <c r="I9" s="6" t="str">
        <f aca="false">IF(AND(ISNUMBER(C9),ISNUMBER(H9)),C9-H9,"")</f>
        <v/>
      </c>
    </row>
    <row r="10" customFormat="false" ht="15" hidden="false" customHeight="false" outlineLevel="0" collapsed="false">
      <c r="A10" s="4" t="s">
        <v>23</v>
      </c>
      <c r="B10" s="5" t="n">
        <v>10</v>
      </c>
      <c r="C10" s="6" t="n">
        <v>8.7227</v>
      </c>
      <c r="D10" s="6" t="n">
        <v>9.2585</v>
      </c>
      <c r="E10" s="6" t="n">
        <v>9.0677</v>
      </c>
      <c r="F10" s="6" t="n">
        <v>9.1025</v>
      </c>
      <c r="G10" s="6" t="n">
        <v>8.8753</v>
      </c>
      <c r="H10" s="7" t="s">
        <v>34</v>
      </c>
      <c r="I10" s="6" t="str">
        <f aca="false">IF(AND(ISNUMBER(C10),ISNUMBER(H10)),C10-H10,"")</f>
        <v/>
      </c>
    </row>
    <row r="11" customFormat="false" ht="15" hidden="false" customHeight="false" outlineLevel="0" collapsed="false">
      <c r="A11" s="4" t="s">
        <v>24</v>
      </c>
      <c r="B11" s="5" t="s">
        <v>19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7" t="n">
        <v>9.07</v>
      </c>
      <c r="I11" s="6" t="str">
        <f aca="false">IF(AND(ISNUMBER(C11),ISNUMBER(H11)),C11-H11,"")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3" t="s">
        <v>2</v>
      </c>
      <c r="B4" s="3" t="s">
        <v>4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14</v>
      </c>
    </row>
    <row r="5" customFormat="false" ht="15" hidden="false" customHeight="false" outlineLevel="0" collapsed="false">
      <c r="A5" s="4" t="s">
        <v>15</v>
      </c>
      <c r="B5" s="5" t="n">
        <v>10</v>
      </c>
      <c r="C5" s="10" t="n">
        <v>0.5874</v>
      </c>
      <c r="D5" s="10" t="n">
        <v>0.5987</v>
      </c>
      <c r="E5" s="10" t="n">
        <v>0.5924</v>
      </c>
      <c r="F5" s="10" t="n">
        <v>0.4789</v>
      </c>
      <c r="G5" s="10" t="n">
        <v>0.4868</v>
      </c>
      <c r="H5" s="11" t="n">
        <v>0.66</v>
      </c>
      <c r="I5" s="10" t="n">
        <f aca="false">IF(AND(ISNUMBER(C5),ISNUMBER(H5)),C5-H5,"")</f>
        <v>-0.0726</v>
      </c>
    </row>
    <row r="6" customFormat="false" ht="15" hidden="false" customHeight="false" outlineLevel="0" collapsed="false">
      <c r="A6" s="4" t="s">
        <v>17</v>
      </c>
      <c r="B6" s="5" t="n">
        <v>10</v>
      </c>
      <c r="C6" s="10" t="n">
        <v>0.5045</v>
      </c>
      <c r="D6" s="10" t="n">
        <v>0.543</v>
      </c>
      <c r="E6" s="10" t="n">
        <v>0.5474</v>
      </c>
      <c r="F6" s="10" t="n">
        <v>0.4443</v>
      </c>
      <c r="G6" s="10" t="n">
        <v>0.4395</v>
      </c>
      <c r="H6" s="11" t="s">
        <v>34</v>
      </c>
      <c r="I6" s="10" t="str">
        <f aca="false">IF(AND(ISNUMBER(C6),ISNUMBER(H6)),C6-H6,"")</f>
        <v/>
      </c>
    </row>
    <row r="7" customFormat="false" ht="15" hidden="false" customHeight="false" outlineLevel="0" collapsed="false">
      <c r="A7" s="4" t="s">
        <v>18</v>
      </c>
      <c r="B7" s="5" t="n">
        <v>5</v>
      </c>
      <c r="C7" s="10" t="n">
        <v>0.5265</v>
      </c>
      <c r="D7" s="10" t="n">
        <v>0.5634</v>
      </c>
      <c r="E7" s="10" t="n">
        <v>0.9234</v>
      </c>
      <c r="F7" s="10" t="n">
        <v>0.6553</v>
      </c>
      <c r="G7" s="10" t="s">
        <v>19</v>
      </c>
      <c r="H7" s="11" t="n">
        <v>0.21</v>
      </c>
      <c r="I7" s="10" t="n">
        <f aca="false">IF(AND(ISNUMBER(C7),ISNUMBER(H7)),C7-H7,"")</f>
        <v>0.3165</v>
      </c>
    </row>
    <row r="8" customFormat="false" ht="15" hidden="false" customHeight="false" outlineLevel="0" collapsed="false">
      <c r="A8" s="4" t="s">
        <v>20</v>
      </c>
      <c r="B8" s="5" t="n">
        <v>10</v>
      </c>
      <c r="C8" s="10" t="n">
        <v>0.4442</v>
      </c>
      <c r="D8" s="10" t="n">
        <v>0.5815</v>
      </c>
      <c r="E8" s="10" t="n">
        <v>0.5246</v>
      </c>
      <c r="F8" s="10" t="n">
        <v>0.6043</v>
      </c>
      <c r="G8" s="10" t="n">
        <v>0.5964</v>
      </c>
      <c r="H8" s="11" t="n">
        <v>0.12</v>
      </c>
      <c r="I8" s="10" t="n">
        <f aca="false">IF(AND(ISNUMBER(C8),ISNUMBER(H8)),C8-H8,"")</f>
        <v>0.3242</v>
      </c>
    </row>
    <row r="9" customFormat="false" ht="15" hidden="false" customHeight="false" outlineLevel="0" collapsed="false">
      <c r="A9" s="4" t="s">
        <v>22</v>
      </c>
      <c r="B9" s="5" t="n">
        <v>10</v>
      </c>
      <c r="C9" s="10" t="n">
        <v>0.3512</v>
      </c>
      <c r="D9" s="10" t="n">
        <v>0.323</v>
      </c>
      <c r="E9" s="10" t="n">
        <v>0.3306</v>
      </c>
      <c r="F9" s="10" t="n">
        <v>0.3361</v>
      </c>
      <c r="G9" s="10" t="n">
        <v>0.318</v>
      </c>
      <c r="H9" s="11" t="s">
        <v>34</v>
      </c>
      <c r="I9" s="10" t="str">
        <f aca="false">IF(AND(ISNUMBER(C9),ISNUMBER(H9)),C9-H9,"")</f>
        <v/>
      </c>
    </row>
    <row r="10" customFormat="false" ht="15" hidden="false" customHeight="false" outlineLevel="0" collapsed="false">
      <c r="A10" s="4" t="s">
        <v>23</v>
      </c>
      <c r="B10" s="5" t="n">
        <v>10</v>
      </c>
      <c r="C10" s="10" t="n">
        <v>0.5033</v>
      </c>
      <c r="D10" s="10" t="n">
        <v>0.7726</v>
      </c>
      <c r="E10" s="10" t="n">
        <v>0.7951</v>
      </c>
      <c r="F10" s="10" t="n">
        <v>0.5484</v>
      </c>
      <c r="G10" s="10" t="n">
        <v>0.4819</v>
      </c>
      <c r="H10" s="11" t="s">
        <v>34</v>
      </c>
      <c r="I10" s="10" t="str">
        <f aca="false">IF(AND(ISNUMBER(C10),ISNUMBER(H10)),C10-H10,"")</f>
        <v/>
      </c>
    </row>
    <row r="11" customFormat="false" ht="15" hidden="false" customHeight="false" outlineLevel="0" collapsed="false">
      <c r="A11" s="4" t="s">
        <v>24</v>
      </c>
      <c r="B11" s="5" t="s">
        <v>19</v>
      </c>
      <c r="C11" s="10" t="s">
        <v>19</v>
      </c>
      <c r="D11" s="10" t="s">
        <v>19</v>
      </c>
      <c r="E11" s="10" t="s">
        <v>19</v>
      </c>
      <c r="F11" s="10" t="s">
        <v>19</v>
      </c>
      <c r="G11" s="10" t="s">
        <v>19</v>
      </c>
      <c r="H11" s="11" t="n">
        <v>0.07</v>
      </c>
      <c r="I11" s="10" t="str">
        <f aca="false">IF(AND(ISNUMBER(C11),ISNUMBER(H11)),C11-H11,"")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2026-10-21T11:47:33Z</dcterms:created>
  <dc:creator>openpyxl</dc:creator>
  <dc:description/>
  <dc:language>en-US</dc:language>
  <cp:lastModifiedBy/>
  <dcterms:modified xsi:type="dcterms:W3CDTF">2026-10-21T11:47:33Z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